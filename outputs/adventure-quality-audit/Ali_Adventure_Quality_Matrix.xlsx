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b3f63fdb784d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sszefoglaló" sheetId="1" r:id="Rbc1a0179fc714b1d"/>
    <x:sheet xmlns:r="http://schemas.openxmlformats.org/officeDocument/2006/relationships" name="Kaland audit" sheetId="2" r:id="Rc0a58d37ca004bf0"/>
    <x:sheet xmlns:r="http://schemas.openxmlformats.org/officeDocument/2006/relationships" name="Hibajegyzék" sheetId="3" r:id="R01414fcbbd084255"/>
    <x:sheet xmlns:r="http://schemas.openxmlformats.org/officeDocument/2006/relationships" name="Lefedettségi rés" sheetId="4" r:id="Rd31789d6e3164acf"/>
    <x:sheet xmlns:r="http://schemas.openxmlformats.org/officeDocument/2006/relationships" name="QA ellenőrzőlista" sheetId="5" r:id="Re22251283b584e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yyyy-mm-dd"/>
    <x:numFmt numFmtId="202" formatCode="0.0%"/>
  </x:numFmts>
  <x:fonts count="6">
    <x:font>
      <x:sz val="11"/>
      <x:name val="Carlito"/>
    </x:font>
    <x:font>
      <x:b/>
      <x:sz val="11"/>
      <x:color rgb="FFFFFFFF"/>
      <x:name val="Carlito"/>
    </x:font>
    <x:font>
      <x:i/>
      <x:sz val="11"/>
      <x:color rgb="FF6F756F"/>
      <x:name val="Carlito"/>
    </x:font>
    <x:font>
      <x:sz val="11"/>
      <x:color rgb="FF203331"/>
      <x:name val="Carlito"/>
    </x:font>
    <x:font>
      <x:b/>
      <x:sz val="11"/>
      <x:color rgb="FF183F3D"/>
      <x:name val="Carlito"/>
    </x:font>
    <x:font>
      <x:b/>
      <x:sz val="11"/>
      <x:color rgb="FFA94F3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83F3D"/>
      </x:patternFill>
    </x:fill>
    <x:fill>
      <x:patternFill patternType="solid">
        <x:fgColor rgb="FFFBF6EC"/>
      </x:patternFill>
    </x:fill>
    <x:fill>
      <x:patternFill patternType="solid">
        <x:fgColor rgb="FFA94F35"/>
      </x:patternFill>
    </x:fill>
    <x:fill>
      <x:patternFill patternType="solid">
        <x:fgColor rgb="FFF2DDAF"/>
      </x:patternFill>
    </x:fill>
    <x:fill>
      <x:patternFill patternType="solid">
        <x:fgColor rgb="FFF7E7C3"/>
      </x:patternFill>
    </x:fill>
  </x:fills>
  <x:borders count="4">
    <x:border/>
    <x:border>
      <x:bottom style="thin">
        <x:color rgb="FFE7DDCD"/>
      </x:bottom>
    </x:border>
    <x:border>
      <x:top style="thin">
        <x:color rgb="FFE7DDCD"/>
      </x:top>
      <x:bottom style="thin">
        <x:color rgb="FFE7DDCD"/>
      </x:bottom>
    </x:border>
    <x:border>
      <x:top style="thin">
        <x:color rgb="FFE7DDCD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0" fontId="3" fillId="0" borderId="2" xfId="0" applyNumberFormat="1" applyFont="1" applyFill="1" applyBorder="1"/>
    <x:xf numFmtId="200" fontId="3" fillId="0" borderId="3" xfId="0" applyNumberFormat="1" applyFont="1" applyFill="1" applyBorder="1"/>
    <x:xf numFmtId="200" fontId="3" fillId="0" borderId="1" xfId="0" applyNumberFormat="1" applyFont="1" applyFill="1" applyBorder="1" applyAlignment="1">
      <x:alignment wrapText="1"/>
    </x:xf>
    <x:xf numFmtId="200" fontId="3" fillId="0" borderId="2" xfId="0" applyNumberFormat="1" applyFont="1" applyFill="1" applyBorder="1" applyAlignment="1">
      <x:alignment wrapText="1"/>
    </x:xf>
    <x:xf numFmtId="200" fontId="3" fillId="0" borderId="3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vertical="top" wrapText="1"/>
    </x:xf>
    <x:xf numFmtId="200" fontId="3" fillId="0" borderId="2" xfId="0" applyNumberFormat="1" applyFont="1" applyFill="1" applyBorder="1" applyAlignment="1">
      <x:alignment vertical="top" wrapText="1"/>
    </x:xf>
    <x:xf numFmtId="200" fontId="3" fillId="0" borderId="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vertical="top" wrapText="1"/>
    </x:xf>
    <x:xf numFmtId="201" fontId="3" fillId="0" borderId="2" xfId="0" applyNumberFormat="1" applyFont="1" applyFill="1" applyBorder="1" applyAlignment="1">
      <x:alignment vertical="top" wrapText="1"/>
    </x:xf>
    <x:xf numFmtId="201" fontId="3" fillId="0" borderId="3" xfId="0" applyNumberFormat="1" applyFont="1" applyFill="1" applyBorder="1" applyAlignment="1">
      <x:alignment vertical="top" wrapText="1"/>
    </x:xf>
    <x:xf numFmtId="202" fontId="3" fillId="0" borderId="1" xfId="0" applyNumberFormat="1" applyFont="1" applyFill="1" applyBorder="1" applyAlignment="1">
      <x:alignment vertical="top" wrapText="1"/>
    </x:xf>
    <x:xf numFmtId="202" fontId="3" fillId="0" borderId="2" xfId="0" applyNumberFormat="1" applyFont="1" applyFill="1" applyBorder="1" applyAlignment="1">
      <x:alignment vertical="top" wrapText="1"/>
    </x:xf>
    <x:xf numFmtId="202" fontId="3" fillId="0" borderId="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183F3D"/>
      </x:font>
      <x:fill>
        <x:patternFill patternType="solid">
          <x:bgColor rgb="FFDDEDEA"/>
        </x:patternFill>
      </x:fill>
    </x:dxf>
    <x:dxf>
      <x:font>
        <x:b/>
        <x:color rgb="FFA94F35"/>
      </x:font>
      <x:fill>
        <x:patternFill patternType="solid">
          <x:bgColor rgb="FFF7E7C3"/>
        </x:patternFill>
      </x:fill>
    </x:dxf>
    <x:dxf>
      <x:font>
        <x:b/>
        <x:color rgb="FF8B2E22"/>
      </x:font>
      <x:fill>
        <x:patternFill patternType="solid">
          <x:bgColor rgb="FFF4D7D0"/>
        </x:patternFill>
      </x:fill>
    </x:dxf>
    <x:dxf>
      <x:font>
        <x:b/>
        <x:color rgb="FF8B2E22"/>
      </x:font>
      <x:fill>
        <x:patternFill patternType="solid">
          <x:bgColor rgb="FFF4D7D0"/>
        </x:patternFill>
      </x:fill>
    </x:dxf>
    <x:dxf>
      <x:font>
        <x:b/>
        <x:color rgb="FF183F3D"/>
      </x:font>
      <x:fill>
        <x:patternFill patternType="solid">
          <x:bgColor rgb="FFDDEDEA"/>
        </x:patternFill>
      </x:fill>
    </x:dxf>
    <x:dxf>
      <x:font>
        <x:b/>
        <x:color rgb="FF183F3D"/>
      </x:font>
      <x:fill>
        <x:patternFill patternType="solid">
          <x:bgColor rgb="FFDDEDEA"/>
        </x:patternFill>
      </x:fill>
    </x:dxf>
    <x:dxf>
      <x:font>
        <x:b/>
        <x:color rgb="FFA94F35"/>
      </x:font>
      <x:fill>
        <x:patternFill patternType="solid">
          <x:bgColor rgb="FFF7E7C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8c8a9872ef4a31" /><Relationship Type="http://schemas.openxmlformats.org/officeDocument/2006/relationships/theme" Target="/xl/theme/theme1.xml" Id="R92645366d36d4b84" /><Relationship Type="http://schemas.openxmlformats.org/officeDocument/2006/relationships/sharedStrings" Target="/xl/sharedStrings.xml" Id="R9291f164f9db4a6f" /><Relationship Type="http://schemas.openxmlformats.org/officeDocument/2006/relationships/worksheet" Target="/xl/worksheets/sheet1.xml" Id="Rbc1a0179fc714b1d" /><Relationship Type="http://schemas.openxmlformats.org/officeDocument/2006/relationships/worksheet" Target="/xl/worksheets/sheet2.xml" Id="Rc0a58d37ca004bf0" /><Relationship Type="http://schemas.openxmlformats.org/officeDocument/2006/relationships/worksheet" Target="/xl/worksheets/sheet3.xml" Id="R01414fcbbd084255" /><Relationship Type="http://schemas.openxmlformats.org/officeDocument/2006/relationships/worksheet" Target="/xl/worksheets/sheet4.xml" Id="Rd31789d6e3164acf" /><Relationship Type="http://schemas.openxmlformats.org/officeDocument/2006/relationships/worksheet" Target="/xl/worksheets/sheet5.xml" Id="Re22251283b584ebf" /></Relationships>
</file>

<file path=xl/tables/table1.xml><?xml version="1.0" encoding="utf-8"?>
<x:table xmlns:x="http://schemas.openxmlformats.org/spreadsheetml/2006/main" id="1" name="AdventureAuditTable" displayName="AdventureAuditTable" ref="A4:P14" headerRowCount="1" totalsRowCount="0" totalsRowShown="0">
  <x:tableColumns count="16">
    <x:tableColumn id="1" name="#"/>
    <x:tableColumn id="2" name="Kaland"/>
    <x:tableColumn id="3" name="Helyszín"/>
    <x:tableColumn id="4" name="Jelenet"/>
    <x:tableColumn id="5" name="Történet"/>
    <x:tableColumn id="6" name="Elágazás"/>
    <x:tableColumn id="7" name="Török"/>
    <x:tableColumn id="8" name="HU érthető"/>
    <x:tableColumn id="9" name="Lefedettség"/>
    <x:tableColumn id="10" name="Adaptív"/>
    <x:tableColumn id="11" name="Mobil"/>
    <x:tableColumn id="12" name="Státusz"/>
    <x:tableColumn id="13" name="Prioritás"/>
    <x:tableColumn id="14" name="Fő megállapítás"/>
    <x:tableColumn id="15" name="Javasolt következő lépés"/>
    <x:tableColumn id="16" name="Ellenőriz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ssueRegisterTable" displayName="IssueRegisterTable" ref="A4:H18" headerRowCount="1" totalsRowCount="0" totalsRowShown="0">
  <x:tableColumns count="8">
    <x:tableColumn id="1" name="ID"/>
    <x:tableColumn id="2" name="Kaland"/>
    <x:tableColumn id="3" name="Prioritás"/>
    <x:tableColumn id="4" name="Terület"/>
    <x:tableColumn id="5" name="Állapot"/>
    <x:tableColumn id="6" name="Megállapítás"/>
    <x:tableColumn id="7" name="Javaslat"/>
    <x:tableColumn id="8" name="Tulajdono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overageGapTable" displayName="CoverageGapTable" ref="A4:G14" headerRowCount="1" totalsRowCount="0" totalsRowShown="0">
  <x:tableColumns count="7">
    <x:tableColumn id="1" name="#"/>
    <x:tableColumn id="2" name="Kaland"/>
    <x:tableColumn id="3" name="Map egység"/>
    <x:tableColumn id="4" name="Core + pocket"/>
    <x:tableColumn id="5" name="Map QA jelzés"/>
    <x:tableColumn id="6" name="Felszíni arány"/>
    <x:tableColumn id="7" name="Dönté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AChecklistTable" displayName="QAChecklistTable" ref="A3:F11" headerRowCount="1" totalsRowCount="0" totalsRowShown="0">
  <x:tableColumns count="6">
    <x:tableColumn id="1" name="Terület"/>
    <x:tableColumn id="2" name="Ellenőrzés"/>
    <x:tableColumn id="3" name="Elvárt eredmény"/>
    <x:tableColumn id="4" name="Gyakoriság"/>
    <x:tableColumn id="5" name="Státusz"/>
    <x:tableColumn id="6" name="Megjegyzé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ceec49bc5134ed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91dd36786744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98482cea6a4e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67e2028934040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22" hidden="0" customWidth="1"/>
  </x:cols>
  <x:sheetData>
    <x:row r="1" ht="15" hidden="0" customHeight="1">
      <x:c r="A1" s="45" t="str">
        <x:v>Ali · Adventure Quality Audit</x:v>
      </x:c>
      <x:c r="B1" s="45" t="str">
        <x:v>Ali · Adventure Quality Audit</x:v>
      </x:c>
      <x:c r="C1" s="45" t="str">
        <x:v>Ali · Adventure Quality Audit</x:v>
      </x:c>
      <x:c r="D1" s="45" t="str">
        <x:v>Ali · Adventure Quality Audit</x:v>
      </x:c>
      <x:c r="E1" s="45" t="str">
        <x:v>Ali · Adventure Quality Audit</x:v>
      </x:c>
      <x:c r="F1" s="45" t="str">
        <x:v>Ali · Adventure Quality Audit</x:v>
      </x:c>
      <x:c r="G1" s="45" t="str">
        <x:v>Ali · Adventure Quality Audit</x:v>
      </x:c>
      <x:c r="H1" s="45" t="str">
        <x:v>Ali · Adventure Quality Audit</x:v>
      </x:c>
    </x:row>
    <x:row r="2" ht="15" hidden="0" customHeight="1">
      <x:c r="A2" s="6" t="str">
        <x:v>A tíz működő kaland tartalmi, nyelvi, UX- és lefedettségi állapota · 2026-07-18</x:v>
      </x:c>
      <x:c r="B2" s="6"/>
      <x:c r="C2" s="6"/>
      <x:c r="D2" s="6"/>
      <x:c r="E2" s="6"/>
      <x:c r="F2" s="6"/>
      <x:c r="G2" s="6"/>
      <x:c r="H2" s="6"/>
    </x:row>
    <x:row r="3" ht="15" hidden="0" customHeight="1">
      <x:c r="A3" s="46"/>
      <x:c r="B3" s="46"/>
      <x:c r="C3" s="46"/>
      <x:c r="D3" s="46"/>
      <x:c r="E3" s="46"/>
      <x:c r="F3" s="46"/>
      <x:c r="G3" s="46"/>
      <x:c r="H3" s="46"/>
    </x:row>
    <x:row r="4" ht="15" hidden="0" customHeight="1">
      <x:c r="A4" s="10" t="str">
        <x:v>Mutató</x:v>
      </x:c>
      <x:c r="B4" s="10" t="str">
        <x:v>Érték</x:v>
      </x:c>
      <x:c r="C4" s="46"/>
      <x:c r="D4" s="10" t="str">
        <x:v>Terület</x:v>
      </x:c>
      <x:c r="E4" s="10" t="str">
        <x:v>Átlag / 5</x:v>
      </x:c>
      <x:c r="F4" s="10" t="str">
        <x:v>Állapot</x:v>
      </x:c>
      <x:c r="G4" s="10" t="str"/>
      <x:c r="H4" s="10" t="str"/>
    </x:row>
    <x:row r="5" ht="39.599998474121094" hidden="0" customHeight="1">
      <x:c r="A5" s="18" t="str">
        <x:v>Auditált kalandok</x:v>
      </x:c>
      <x:c r="B5" s="18" t="n">
        <x:v>10</x:v>
      </x:c>
      <x:c r="C5" s="46"/>
      <x:c r="D5" s="18" t="str">
        <x:v>Történet</x:v>
      </x:c>
      <x:c r="E5" s="29" t="n">
        <x:f>AVERAGE('Kaland audit'!$E$5:$E$14)</x:f>
        <x:v>4.9</x:v>
      </x:c>
      <x:c r="F5" s="46"/>
      <x:c r="G5" s="35" t="str">
        <x:v>A motor stabil; a következő minőségi ugrást nem új funkció, hanem a 1574 egységes Knowledge Map szerkesztett, több hullámos felszínre hozása adja.</x:v>
      </x:c>
      <x:c r="H5" s="35"/>
    </x:row>
    <x:row r="6" ht="15" hidden="0" customHeight="1">
      <x:c r="A6" s="19" t="str">
        <x:v>Jelenetek</x:v>
      </x:c>
      <x:c r="B6" s="19" t="n">
        <x:v>100</x:v>
      </x:c>
      <x:c r="C6" s="46"/>
      <x:c r="D6" s="19" t="str">
        <x:v>Elágazások</x:v>
      </x:c>
      <x:c r="E6" s="30" t="n">
        <x:f>AVERAGE('Kaland audit'!$F$5:$F$14)</x:f>
        <x:v>5</x:v>
      </x:c>
      <x:c r="F6" s="46"/>
      <x:c r="G6" s="35"/>
      <x:c r="H6" s="35"/>
    </x:row>
    <x:row r="7" ht="15" hidden="0" customHeight="1">
      <x:c r="A7" s="19" t="str">
        <x:v>Nyitott P1 ügy</x:v>
      </x:c>
      <x:c r="B7" s="19" t="n">
        <x:f>COUNTIFS('Hibajegyzék'!$C$5:$C$18,"P1",'Hibajegyzék'!$E$5:$E$18,"Nyitott")</x:f>
        <x:v>3</x:v>
      </x:c>
      <x:c r="C7" s="46"/>
      <x:c r="D7" s="19" t="str">
        <x:v>Török nyelv</x:v>
      </x:c>
      <x:c r="E7" s="30" t="n">
        <x:f>AVERAGE('Kaland audit'!$G$5:$G$14)</x:f>
        <x:v>4</x:v>
      </x:c>
      <x:c r="F7" s="46"/>
      <x:c r="G7" s="35"/>
      <x:c r="H7" s="35"/>
    </x:row>
    <x:row r="8" ht="15" hidden="0" customHeight="1">
      <x:c r="A8" s="20" t="str">
        <x:v>Javított ágak</x:v>
      </x:c>
      <x:c r="B8" s="20" t="n">
        <x:f>COUNTIF('Hibajegyzék'!$E$5:$E$18,"Javítva")</x:f>
        <x:v>3</x:v>
      </x:c>
      <x:c r="C8" s="46"/>
      <x:c r="D8" s="19" t="str">
        <x:v>Magyar érthetőség</x:v>
      </x:c>
      <x:c r="E8" s="30" t="n">
        <x:f>AVERAGE('Kaland audit'!$H$5:$H$14)</x:f>
        <x:v>5</x:v>
      </x:c>
      <x:c r="F8" s="46"/>
      <x:c r="G8" s="35"/>
      <x:c r="H8" s="35"/>
    </x:row>
    <x:row r="9" ht="15" hidden="0" customHeight="1">
      <x:c r="A9" s="46"/>
      <x:c r="B9" s="46"/>
      <x:c r="C9" s="46"/>
      <x:c r="D9" s="19" t="str">
        <x:v>Adaptív illeszkedés</x:v>
      </x:c>
      <x:c r="E9" s="30" t="n">
        <x:f>AVERAGE('Kaland audit'!$J$5:$J$14)</x:f>
        <x:v>4.6</x:v>
      </x:c>
      <x:c r="F9" s="46"/>
      <x:c r="G9" s="35"/>
      <x:c r="H9" s="35"/>
    </x:row>
    <x:row r="10" ht="15" hidden="0" customHeight="1">
      <x:c r="A10" s="46"/>
      <x:c r="B10" s="46"/>
      <x:c r="C10" s="46"/>
      <x:c r="D10" s="20" t="str">
        <x:v>Mobil biztonság</x:v>
      </x:c>
      <x:c r="E10" s="31" t="n">
        <x:f>AVERAGE('Kaland audit'!$K$5:$K$14)</x:f>
        <x:v>2.5</x:v>
      </x:c>
      <x:c r="F10" s="46"/>
      <x:c r="G10" s="35"/>
      <x:c r="H10" s="35"/>
    </x:row>
    <x:row r="11" ht="15" hidden="0" customHeight="1">
      <x:c r="A11" s="38" t="str">
        <x:v>Döntés: a prototípus nem tekinthető a teljes tudásbázis feldolgozásának. A jelenlegi 130 kanonikus elem egy erős első réteg.</x:v>
      </x:c>
      <x:c r="B11" s="38"/>
      <x:c r="C11" s="38"/>
      <x:c r="D11" s="38"/>
      <x:c r="E11" s="38"/>
      <x:c r="F11" s="38"/>
      <x:c r="G11" s="38"/>
      <x:c r="H11" s="38"/>
    </x:row>
  </x:sheetData>
  <x:mergeCells>
    <x:mergeCell ref="A1:H1"/>
    <x:mergeCell ref="A2:H2"/>
    <x:mergeCell ref="G5:H5"/>
    <x:mergeCell ref="G6:H6"/>
    <x:mergeCell ref="G7:H7"/>
    <x:mergeCell ref="G8:H8"/>
    <x:mergeCell ref="G9:H9"/>
    <x:mergeCell ref="G10:H10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2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3" hidden="0" customWidth="1"/>
    <x:col min="13" max="13" width="13" hidden="0" customWidth="1"/>
    <x:col min="14" max="14" width="42" hidden="0" customWidth="1"/>
    <x:col min="15" max="15" width="42" hidden="0" customWidth="1"/>
    <x:col min="16" max="16" width="12" hidden="0" customWidth="1"/>
  </x:cols>
  <x:sheetData>
    <x:row r="1" ht="15" hidden="0" customHeight="1">
      <x:c r="A1" s="45" t="str">
        <x:v>Kaland audit · 10 állomás</x:v>
      </x:c>
      <x:c r="B1" s="45" t="str">
        <x:v>Kaland audit · 10 állomás</x:v>
      </x:c>
      <x:c r="C1" s="45" t="str">
        <x:v>Kaland audit · 10 állomás</x:v>
      </x:c>
      <x:c r="D1" s="45" t="str">
        <x:v>Kaland audit · 10 állomás</x:v>
      </x:c>
      <x:c r="E1" s="45" t="str">
        <x:v>Kaland audit · 10 állomás</x:v>
      </x:c>
      <x:c r="F1" s="45" t="str">
        <x:v>Kaland audit · 10 állomás</x:v>
      </x:c>
      <x:c r="G1" s="45" t="str">
        <x:v>Kaland audit · 10 állomás</x:v>
      </x:c>
      <x:c r="H1" s="45" t="str">
        <x:v>Kaland audit · 10 állomás</x:v>
      </x:c>
      <x:c r="I1" s="45" t="str">
        <x:v>Kaland audit · 10 állomás</x:v>
      </x:c>
      <x:c r="J1" s="45" t="str">
        <x:v>Kaland audit · 10 állomás</x:v>
      </x:c>
      <x:c r="K1" s="45" t="str">
        <x:v>Kaland audit · 10 állomás</x:v>
      </x:c>
      <x:c r="L1" s="45" t="str">
        <x:v>Kaland audit · 10 állomás</x:v>
      </x:c>
      <x:c r="M1" s="45" t="str">
        <x:v>Kaland audit · 10 állomás</x:v>
      </x:c>
      <x:c r="N1" s="45" t="str">
        <x:v>Kaland audit · 10 állomás</x:v>
      </x:c>
      <x:c r="O1" s="45" t="str">
        <x:v>Kaland audit · 10 állomás</x:v>
      </x:c>
      <x:c r="P1" s="45" t="str">
        <x:v>Kaland audit · 10 állomás</x:v>
      </x:c>
    </x:row>
    <x:row r="2" ht="15" hidden="0" customHeight="1">
      <x:c r="A2" s="6" t="str">
        <x:v>Pontozás: 1 = kritikus, 3 = használható, 5 = kiemelkedő. A státusz nem a vizuális minőséget, hanem a publikálási készültséget jelzi.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 ht="15" hidden="0" customHeight="1">
      <x:c r="A3" s="46"/>
      <x:c r="B3" s="46"/>
      <x:c r="C3" s="46"/>
      <x:c r="D3" s="46"/>
      <x:c r="E3" s="46"/>
      <x:c r="F3" s="46"/>
      <x:c r="G3" s="46"/>
      <x:c r="H3" s="46"/>
      <x:c r="I3" s="46"/>
      <x:c r="J3" s="46"/>
      <x:c r="K3" s="46"/>
      <x:c r="L3" s="46"/>
      <x:c r="M3" s="46"/>
      <x:c r="N3" s="46"/>
      <x:c r="O3" s="46"/>
      <x:c r="P3" s="46"/>
    </x:row>
    <x:row r="4" ht="15" hidden="0" customHeight="1">
      <x:c r="A4" s="10" t="str">
        <x:v>#</x:v>
      </x:c>
      <x:c r="B4" s="10" t="str">
        <x:v>Kaland</x:v>
      </x:c>
      <x:c r="C4" s="10" t="str">
        <x:v>Helyszín</x:v>
      </x:c>
      <x:c r="D4" s="10" t="str">
        <x:v>Jelenet</x:v>
      </x:c>
      <x:c r="E4" s="10" t="str">
        <x:v>Történet</x:v>
      </x:c>
      <x:c r="F4" s="10" t="str">
        <x:v>Elágazás</x:v>
      </x:c>
      <x:c r="G4" s="10" t="str">
        <x:v>Török</x:v>
      </x:c>
      <x:c r="H4" s="10" t="str">
        <x:v>HU érthető</x:v>
      </x:c>
      <x:c r="I4" s="10" t="str">
        <x:v>Lefedettség</x:v>
      </x:c>
      <x:c r="J4" s="10" t="str">
        <x:v>Adaptív</x:v>
      </x:c>
      <x:c r="K4" s="10" t="str">
        <x:v>Mobil</x:v>
      </x:c>
      <x:c r="L4" s="10" t="str">
        <x:v>Státusz</x:v>
      </x:c>
      <x:c r="M4" s="10" t="str">
        <x:v>Prioritás</x:v>
      </x:c>
      <x:c r="N4" s="10" t="str">
        <x:v>Fő megállapítás</x:v>
      </x:c>
      <x:c r="O4" s="10" t="str">
        <x:v>Javasolt következő lépés</x:v>
      </x:c>
      <x:c r="P4" s="10" t="str">
        <x:v>Ellenőrizve</x:v>
      </x:c>
    </x:row>
    <x:row r="5" ht="39.599998474121094" hidden="0" customHeight="1">
      <x:c r="A5" s="18" t="n">
        <x:v>1</x:v>
      </x:c>
      <x:c r="B5" s="18" t="str">
        <x:v>Megérkeztél</x:v>
      </x:c>
      <x:c r="C5" s="18" t="str">
        <x:v>Galata híd</x:v>
      </x:c>
      <x:c r="D5" s="18" t="n">
        <x:v>10</x:v>
      </x:c>
      <x:c r="E5" s="18" t="n">
        <x:v>5</x:v>
      </x:c>
      <x:c r="F5" s="18" t="n">
        <x:v>5</x:v>
      </x:c>
      <x:c r="G5" s="18" t="n">
        <x:v>4</x:v>
      </x:c>
      <x:c r="H5" s="18" t="n">
        <x:v>5</x:v>
      </x:c>
      <x:c r="I5" s="18" t="n">
        <x:v>3</x:v>
      </x:c>
      <x:c r="J5" s="18" t="n">
        <x:v>4</x:v>
      </x:c>
      <x:c r="K5" s="18" t="n">
        <x:v>2</x:v>
      </x:c>
      <x:c r="L5" s="18" t="str">
        <x:v>Javítandó</x:v>
      </x:c>
      <x:c r="M5" s="18" t="str">
        <x:v>P2</x:v>
      </x:c>
      <x:c r="N5" s="18" t="str">
        <x:v>Erős belépő és valódi választási szabadság. A teljes bemutatkozási tudásanyagból csak egy kis kanonikus mag látszik.</x:v>
      </x:c>
      <x:c r="O5" s="18" t="str">
        <x:v>A későbbi visszatérésekben fokozatosan nyissuk meg a foglalkozás, lakóhely és szabadidő kifejezéseit.</x:v>
      </x:c>
      <x:c r="P5" s="39" t="n">
        <x:v>46221</x:v>
      </x:c>
    </x:row>
    <x:row r="6" ht="26.399999618530273" hidden="0" customHeight="1">
      <x:c r="A6" s="19" t="n">
        <x:v>2</x:v>
      </x:c>
      <x:c r="B6" s="19" t="str">
        <x:v>Van hely az asztalnál</x:v>
      </x:c>
      <x:c r="C6" s="19" t="str">
        <x:v>Karaköy teázó</x:v>
      </x:c>
      <x:c r="D6" s="19" t="n">
        <x:v>10</x:v>
      </x:c>
      <x:c r="E6" s="19" t="n">
        <x:v>5</x:v>
      </x:c>
      <x:c r="F6" s="19" t="n">
        <x:v>5</x:v>
      </x:c>
      <x:c r="G6" s="19" t="n">
        <x:v>4</x:v>
      </x:c>
      <x:c r="H6" s="19" t="n">
        <x:v>5</x:v>
      </x:c>
      <x:c r="I6" s="19" t="n">
        <x:v>4</x:v>
      </x:c>
      <x:c r="J6" s="19" t="n">
        <x:v>5</x:v>
      </x:c>
      <x:c r="K6" s="19" t="n">
        <x:v>2</x:v>
      </x:c>
      <x:c r="L6" s="19" t="str">
        <x:v>Rendben</x:v>
      </x:c>
      <x:c r="M6" s="19" t="str">
        <x:v>P3</x:v>
      </x:c>
      <x:c r="N6" s="19" t="str">
        <x:v>A rendelés, cukorválasztás és udvariasság egységes történetté áll össze.</x:v>
      </x:c>
      <x:c r="O6" s="19" t="str">
        <x:v>Csak a végleges török hangintegráció után kell újratesztelni.</x:v>
      </x:c>
      <x:c r="P6" s="40" t="n">
        <x:v>46221</x:v>
      </x:c>
    </x:row>
    <x:row r="7" ht="39.599998474121094" hidden="0" customHeight="1">
      <x:c r="A7" s="19" t="n">
        <x:v>3</x:v>
      </x:c>
      <x:c r="B7" s="19" t="str">
        <x:v>Arcok a kompon</x:v>
      </x:c>
      <x:c r="C7" s="19" t="str">
        <x:v>Boszporusz komp</x:v>
      </x:c>
      <x:c r="D7" s="19" t="n">
        <x:v>10</x:v>
      </x:c>
      <x:c r="E7" s="19" t="n">
        <x:v>5</x:v>
      </x:c>
      <x:c r="F7" s="19" t="n">
        <x:v>5</x:v>
      </x:c>
      <x:c r="G7" s="19" t="n">
        <x:v>4</x:v>
      </x:c>
      <x:c r="H7" s="19" t="n">
        <x:v>5</x:v>
      </x:c>
      <x:c r="I7" s="19" t="n">
        <x:v>3</x:v>
      </x:c>
      <x:c r="J7" s="19" t="n">
        <x:v>4</x:v>
      </x:c>
      <x:c r="K7" s="19" t="n">
        <x:v>2</x:v>
      </x:c>
      <x:c r="L7" s="19" t="str">
        <x:v>Javítandó</x:v>
      </x:c>
      <x:c r="M7" s="19" t="str">
        <x:v>P2</x:v>
      </x:c>
      <x:c r="N7" s="19" t="str">
        <x:v>A külső és belső leírás működik, de a Knowledge Map „Ne giyiyor?” ruházati kérdése nincs valódi helyzetként feldolgozva.</x:v>
      </x:c>
      <x:c r="O7" s="19" t="str">
        <x:v>Egy meglévő megfigyelési jelenetbe építsünk ruházati mondatot új jelenet hozzáadása nélkül.</x:v>
      </x:c>
      <x:c r="P7" s="40" t="n">
        <x:v>46221</x:v>
      </x:c>
    </x:row>
    <x:row r="8" ht="26.399999618530273" hidden="0" customHeight="1">
      <x:c r="A8" s="19" t="n">
        <x:v>4</x:v>
      </x:c>
      <x:c r="B8" s="19" t="str">
        <x:v>Ami jól áll</x:v>
      </x:c>
      <x:c r="C8" s="19" t="str">
        <x:v>Nagy Bazár</x:v>
      </x:c>
      <x:c r="D8" s="19" t="n">
        <x:v>10</x:v>
      </x:c>
      <x:c r="E8" s="19" t="n">
        <x:v>5</x:v>
      </x:c>
      <x:c r="F8" s="19" t="n">
        <x:v>5</x:v>
      </x:c>
      <x:c r="G8" s="19" t="n">
        <x:v>4</x:v>
      </x:c>
      <x:c r="H8" s="19" t="n">
        <x:v>5</x:v>
      </x:c>
      <x:c r="I8" s="19" t="n">
        <x:v>4</x:v>
      </x:c>
      <x:c r="J8" s="19" t="n">
        <x:v>4</x:v>
      </x:c>
      <x:c r="K8" s="19" t="n">
        <x:v>3</x:v>
      </x:c>
      <x:c r="L8" s="19" t="str">
        <x:v>Rendben</x:v>
      </x:c>
      <x:c r="M8" s="19" t="str">
        <x:v>P3</x:v>
      </x:c>
      <x:c r="N8" s="19" t="str">
        <x:v>A kendő, dzseki és cipő külön méretlogikát kap; az elágazások következménye látható.</x:v>
      </x:c>
      <x:c r="O8" s="19" t="str">
        <x:v>A végleges török nyelvi lektorálásnál ellenőrizzük a kereskedői regisztert.</x:v>
      </x:c>
      <x:c r="P8" s="40" t="n">
        <x:v>46221</x:v>
      </x:c>
    </x:row>
    <x:row r="9" ht="39.599998474121094" hidden="0" customHeight="1">
      <x:c r="A9" s="19" t="n">
        <x:v>5</x:v>
      </x:c>
      <x:c r="B9" s="19" t="str">
        <x:v>Van időnk megállni</x:v>
      </x:c>
      <x:c r="C9" s="19" t="str">
        <x:v>Gülhane Park</x:v>
      </x:c>
      <x:c r="D9" s="19" t="n">
        <x:v>10</x:v>
      </x:c>
      <x:c r="E9" s="19" t="n">
        <x:v>5</x:v>
      </x:c>
      <x:c r="F9" s="19" t="n">
        <x:v>5</x:v>
      </x:c>
      <x:c r="G9" s="19" t="n">
        <x:v>4</x:v>
      </x:c>
      <x:c r="H9" s="19" t="n">
        <x:v>5</x:v>
      </x:c>
      <x:c r="I9" s="19" t="n">
        <x:v>3</x:v>
      </x:c>
      <x:c r="J9" s="19" t="n">
        <x:v>5</x:v>
      </x:c>
      <x:c r="K9" s="19" t="n">
        <x:v>3</x:v>
      </x:c>
      <x:c r="L9" s="19" t="str">
        <x:v>Javítandó</x:v>
      </x:c>
      <x:c r="M9" s="19" t="str">
        <x:v>P2</x:v>
      </x:c>
      <x:c r="N9" s="19" t="str">
        <x:v>A gondoskodó jelenet erős, az érzékeny egészségügyi mondatok helyesen ki vannak zárva az automatikus visszatérésből. A forrásanyag jóval nagyobb.</x:v>
      </x:c>
      <x:c r="O9" s="19" t="str">
        <x:v>Csak utazásbiztonsági, alacsony kockázatú kifejezéseket emeljünk tovább; diagnosztikus tartalom ne kerüljön be.</x:v>
      </x:c>
      <x:c r="P9" s="40" t="n">
        <x:v>46221</x:v>
      </x:c>
    </x:row>
    <x:row r="10" ht="26.399999618530273" hidden="0" customHeight="1">
      <x:c r="A10" s="19" t="n">
        <x:v>6</x:v>
      </x:c>
      <x:c r="B10" s="19" t="str">
        <x:v>Egy megállóval tovább</x:v>
      </x:c>
      <x:c r="C10" s="19" t="str">
        <x:v>Nosztalgikus villamos</x:v>
      </x:c>
      <x:c r="D10" s="19" t="n">
        <x:v>10</x:v>
      </x:c>
      <x:c r="E10" s="19" t="n">
        <x:v>5</x:v>
      </x:c>
      <x:c r="F10" s="19" t="n">
        <x:v>5</x:v>
      </x:c>
      <x:c r="G10" s="19" t="n">
        <x:v>4</x:v>
      </x:c>
      <x:c r="H10" s="19" t="n">
        <x:v>5</x:v>
      </x:c>
      <x:c r="I10" s="19" t="n">
        <x:v>4</x:v>
      </x:c>
      <x:c r="J10" s="19" t="n">
        <x:v>5</x:v>
      </x:c>
      <x:c r="K10" s="19" t="n">
        <x:v>2</x:v>
      </x:c>
      <x:c r="L10" s="19" t="str">
        <x:v>Rendben</x:v>
      </x:c>
      <x:c r="M10" s="19" t="str">
        <x:v>P3</x:v>
      </x:c>
      <x:c r="N10" s="19" t="str">
        <x:v>A kártya, hely, megszólítás és leszállás koherens városi útvonal.</x:v>
      </x:c>
      <x:c r="O10" s="19" t="str">
        <x:v>A hangintegráció után a zsúfolt környezetben való hallhatóságot is tesztelni kell.</x:v>
      </x:c>
      <x:c r="P10" s="40" t="n">
        <x:v>46221</x:v>
      </x:c>
    </x:row>
    <x:row r="11" ht="39.599998474121094" hidden="0" customHeight="1">
      <x:c r="A11" s="19" t="n">
        <x:v>7</x:v>
      </x:c>
      <x:c r="B11" s="19" t="str">
        <x:v>Fények a túlparton</x:v>
      </x:c>
      <x:c r="C11" s="19" t="str">
        <x:v>Üsküdar naplemente</x:v>
      </x:c>
      <x:c r="D11" s="19" t="n">
        <x:v>10</x:v>
      </x:c>
      <x:c r="E11" s="19" t="n">
        <x:v>4</x:v>
      </x:c>
      <x:c r="F11" s="19" t="n">
        <x:v>5</x:v>
      </x:c>
      <x:c r="G11" s="19" t="n">
        <x:v>4</x:v>
      </x:c>
      <x:c r="H11" s="19" t="n">
        <x:v>5</x:v>
      </x:c>
      <x:c r="I11" s="19" t="n">
        <x:v>3</x:v>
      </x:c>
      <x:c r="J11" s="19" t="n">
        <x:v>5</x:v>
      </x:c>
      <x:c r="K11" s="19" t="n">
        <x:v>3</x:v>
      </x:c>
      <x:c r="L11" s="19" t="str">
        <x:v>Javítandó</x:v>
      </x:c>
      <x:c r="M11" s="19" t="str">
        <x:v>P2</x:v>
      </x:c>
      <x:c r="N11" s="19" t="str">
        <x:v>A csend és a kihagyás tiszteletben marad. A napló korábban visszaírta az Aile mondatot kihagyáskor; ezt az audit javította.</x:v>
      </x:c>
      <x:c r="O11" s="19" t="str">
        <x:v>A családi szókincs maradjon választható mellékút, ne kötelező főút.</x:v>
      </x:c>
      <x:c r="P11" s="40" t="n">
        <x:v>46221</x:v>
      </x:c>
    </x:row>
    <x:row r="12" ht="39.599998474121094" hidden="0" customHeight="1">
      <x:c r="A12" s="19" t="n">
        <x:v>8</x:v>
      </x:c>
      <x:c r="B12" s="19" t="str">
        <x:v>A város illata</x:v>
      </x:c>
      <x:c r="C12" s="19" t="str">
        <x:v>Simit pékség</x:v>
      </x:c>
      <x:c r="D12" s="19" t="n">
        <x:v>10</x:v>
      </x:c>
      <x:c r="E12" s="19" t="n">
        <x:v>5</x:v>
      </x:c>
      <x:c r="F12" s="19" t="n">
        <x:v>5</x:v>
      </x:c>
      <x:c r="G12" s="19" t="n">
        <x:v>4</x:v>
      </x:c>
      <x:c r="H12" s="19" t="n">
        <x:v>5</x:v>
      </x:c>
      <x:c r="I12" s="19" t="n">
        <x:v>3</x:v>
      </x:c>
      <x:c r="J12" s="19" t="n">
        <x:v>4</x:v>
      </x:c>
      <x:c r="K12" s="19" t="n">
        <x:v>3</x:v>
      </x:c>
      <x:c r="L12" s="19" t="str">
        <x:v>Javítandó</x:v>
      </x:c>
      <x:c r="M12" s="19" t="str">
        <x:v>P1</x:v>
      </x:c>
      <x:c r="N12" s="19" t="str">
        <x:v>A pékség–konyha történet szerethető, de a Knowledge Map több fő mondata (például Taze mi?, Bir tane.) nincs aktív helyzetként végigvezetve.</x:v>
      </x:c>
      <x:c r="O12" s="19" t="str">
        <x:v>A következő tartalmi sprintben a meglévő tíz jeleneten belül rendezzük át a rendelési párbeszédet.</x:v>
      </x:c>
      <x:c r="P12" s="40" t="n">
        <x:v>46221</x:v>
      </x:c>
    </x:row>
    <x:row r="13" ht="39.599998474121094" hidden="0" customHeight="1">
      <x:c r="A13" s="19" t="n">
        <x:v>9</x:v>
      </x:c>
      <x:c r="B13" s="19" t="str">
        <x:v>Amit nem kell hangosan mondani</x:v>
      </x:c>
      <x:c r="C13" s="19" t="str">
        <x:v>Kék mecset udvara</x:v>
      </x:c>
      <x:c r="D13" s="19" t="n">
        <x:v>10</x:v>
      </x:c>
      <x:c r="E13" s="19" t="n">
        <x:v>5</x:v>
      </x:c>
      <x:c r="F13" s="19" t="n">
        <x:v>5</x:v>
      </x:c>
      <x:c r="G13" s="19" t="n">
        <x:v>4</x:v>
      </x:c>
      <x:c r="H13" s="19" t="n">
        <x:v>5</x:v>
      </x:c>
      <x:c r="I13" s="19" t="n">
        <x:v>4</x:v>
      </x:c>
      <x:c r="J13" s="19" t="n">
        <x:v>5</x:v>
      </x:c>
      <x:c r="K13" s="19" t="n">
        <x:v>2</x:v>
      </x:c>
      <x:c r="L13" s="19" t="str">
        <x:v>Rendben</x:v>
      </x:c>
      <x:c r="M13" s="19" t="str">
        <x:v>P3</x:v>
      </x:c>
      <x:c r="N13" s="19" t="str">
        <x:v>A tisztelet, engedélykérés és csend megfelelő. A napló korábban minden ágon Teşekkür ederim mondatot írt; ezt az audit javította.</x:v>
      </x:c>
      <x:c r="O13" s="19" t="str">
        <x:v>Végleges nyelvi lektor és kulturális sensitivity review szükséges publikálás előtt.</x:v>
      </x:c>
      <x:c r="P13" s="40" t="n">
        <x:v>46221</x:v>
      </x:c>
    </x:row>
    <x:row r="14" ht="52.79999923706055" hidden="0" customHeight="1">
      <x:c r="A14" s="20" t="n">
        <x:v>10</x:v>
      </x:c>
      <x:c r="B14" s="20" t="str">
        <x:v>Maradnál még?</x:v>
      </x:c>
      <x:c r="C14" s="20" t="str">
        <x:v>Vízparti sétány</x:v>
      </x:c>
      <x:c r="D14" s="20" t="n">
        <x:v>10</x:v>
      </x:c>
      <x:c r="E14" s="20" t="n">
        <x:v>5</x:v>
      </x:c>
      <x:c r="F14" s="20" t="n">
        <x:v>5</x:v>
      </x:c>
      <x:c r="G14" s="20" t="n">
        <x:v>4</x:v>
      </x:c>
      <x:c r="H14" s="20" t="n">
        <x:v>5</x:v>
      </x:c>
      <x:c r="I14" s="20" t="n">
        <x:v>3</x:v>
      </x:c>
      <x:c r="J14" s="20" t="n">
        <x:v>5</x:v>
      </x:c>
      <x:c r="K14" s="20" t="n">
        <x:v>3</x:v>
      </x:c>
      <x:c r="L14" s="20" t="str">
        <x:v>Javítandó</x:v>
      </x:c>
      <x:c r="M14" s="20" t="str">
        <x:v>P1</x:v>
      </x:c>
      <x:c r="N14" s="20" t="str">
        <x:v>Az út lezárása érzelmileg működik. A hatalmas gazdasági és hétköznapi forrásanyagból csak a gyümölcsvásárlás és búcsú került felszínre. A választott búcsú naplóága javítva.</x:v>
      </x:c>
      <x:c r="O14" s="20" t="str">
        <x:v>A pénzügyi anyagot ne zsúfoljuk ide; külön későbbi kalandívként bontsuk ki.</x:v>
      </x:c>
      <x:c r="P14" s="41" t="n">
        <x:v>46221</x:v>
      </x:c>
    </x:row>
  </x:sheetData>
  <x:mergeCells>
    <x:mergeCell ref="A1:P1"/>
    <x:mergeCell ref="A2:P2"/>
  </x:mergeCells>
  <x:conditionalFormatting sqref="L5:L14">
    <x:cfRule type="containsText" dxfId="0" priority="1" operator="containsText" text="Rendben"/>
    <x:cfRule type="containsText" dxfId="1" priority="2" operator="containsText" text="Javítandó"/>
  </x:conditionalFormatting>
  <x:conditionalFormatting sqref="M5:M14">
    <x:cfRule type="containsText" dxfId="2" priority="3" operator="containsText" text="P1"/>
  </x:conditionalFormatting>
  <x:pageMargins left="0.7" right="0.7" top="0.75" bottom="0.75" header="0.3" footer="0.3"/>
  <x:tableParts count="1">
    <x:tablePart xmlns:r="http://schemas.openxmlformats.org/officeDocument/2006/relationships" r:id="R6ceec49bc5134ed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9" hidden="0" customWidth="1"/>
    <x:col min="5" max="5" width="19" hidden="0" customWidth="1"/>
    <x:col min="6" max="6" width="48" hidden="0" customWidth="1"/>
    <x:col min="7" max="7" width="48" hidden="0" customWidth="1"/>
    <x:col min="8" max="8" width="18" hidden="0" customWidth="1"/>
  </x:cols>
  <x:sheetData>
    <x:row r="1" ht="15" hidden="0" customHeight="1">
      <x:c r="A1" s="45" t="str">
        <x:v>Hibajegyzék és döntések</x:v>
      </x:c>
      <x:c r="B1" s="45" t="str">
        <x:v>Hibajegyzék és döntések</x:v>
      </x:c>
      <x:c r="C1" s="45" t="str">
        <x:v>Hibajegyzék és döntések</x:v>
      </x:c>
      <x:c r="D1" s="45" t="str">
        <x:v>Hibajegyzék és döntések</x:v>
      </x:c>
      <x:c r="E1" s="45" t="str">
        <x:v>Hibajegyzék és döntések</x:v>
      </x:c>
      <x:c r="F1" s="45" t="str">
        <x:v>Hibajegyzék és döntések</x:v>
      </x:c>
      <x:c r="G1" s="45" t="str">
        <x:v>Hibajegyzék és döntések</x:v>
      </x:c>
      <x:c r="H1" s="45" t="str">
        <x:v>Hibajegyzék és döntések</x:v>
      </x:c>
    </x:row>
    <x:row r="2" ht="15" hidden="0" customHeight="1">
      <x:c r="A2" s="6" t="str">
        <x:v>A javított tételek a jelenlegi prototípusban már átvezetésre kerültek. A nyitott tételek következő sprintekhez rendelhetők.</x:v>
      </x:c>
      <x:c r="B2" s="6"/>
      <x:c r="C2" s="6"/>
      <x:c r="D2" s="6"/>
      <x:c r="E2" s="6"/>
      <x:c r="F2" s="6"/>
      <x:c r="G2" s="6"/>
      <x:c r="H2" s="6"/>
    </x:row>
    <x:row r="3" ht="15" hidden="0" customHeight="1">
      <x:c r="A3" s="46"/>
      <x:c r="B3" s="46"/>
      <x:c r="C3" s="46"/>
      <x:c r="D3" s="46"/>
      <x:c r="E3" s="46"/>
      <x:c r="F3" s="46"/>
      <x:c r="G3" s="46"/>
      <x:c r="H3" s="46"/>
    </x:row>
    <x:row r="4" ht="15" hidden="0" customHeight="1">
      <x:c r="A4" s="10" t="str">
        <x:v>ID</x:v>
      </x:c>
      <x:c r="B4" s="10" t="str">
        <x:v>Kaland</x:v>
      </x:c>
      <x:c r="C4" s="10" t="str">
        <x:v>Prioritás</x:v>
      </x:c>
      <x:c r="D4" s="10" t="str">
        <x:v>Terület</x:v>
      </x:c>
      <x:c r="E4" s="10" t="str">
        <x:v>Állapot</x:v>
      </x:c>
      <x:c r="F4" s="10" t="str">
        <x:v>Megállapítás</x:v>
      </x:c>
      <x:c r="G4" s="10" t="str">
        <x:v>Javaslat</x:v>
      </x:c>
      <x:c r="H4" s="10" t="str">
        <x:v>Tulajdonos</x:v>
      </x:c>
    </x:row>
    <x:row r="5" ht="26.399999618530273" hidden="0" customHeight="1">
      <x:c r="A5" s="18" t="str">
        <x:v>Q-001</x:v>
      </x:c>
      <x:c r="B5" s="18" t="str">
        <x:v>Globális</x:v>
      </x:c>
      <x:c r="C5" s="18" t="str">
        <x:v>P1</x:v>
      </x:c>
      <x:c r="D5" s="18" t="str">
        <x:v>Tartalmi lefedettség</x:v>
      </x:c>
      <x:c r="E5" s="18" t="str">
        <x:v>Nyitott</x:v>
      </x:c>
      <x:c r="F5" s="18" t="str">
        <x:v>A Knowledge Map 1574 feldolgozott egységet tartalmaz; a prototípus jelenleg 130 kanonikus core/pocket elemet kezel.</x:v>
      </x:c>
      <x:c r="G5" s="18" t="str">
        <x:v>Ne nevezzük teljes feldolgozásnak. Készítsünk több kalandíves content release tervet.</x:v>
      </x:c>
      <x:c r="H5" s="18" t="str">
        <x:v>Product + LXD</x:v>
      </x:c>
    </x:row>
    <x:row r="6" ht="26.399999618530273" hidden="0" customHeight="1">
      <x:c r="A6" s="19" t="str">
        <x:v>Q-002</x:v>
      </x:c>
      <x:c r="B6" s="19" t="str">
        <x:v>Globális</x:v>
      </x:c>
      <x:c r="C6" s="19" t="str">
        <x:v>P1</x:v>
      </x:c>
      <x:c r="D6" s="19" t="str">
        <x:v>Hang</x:v>
      </x:c>
      <x:c r="E6" s="19" t="str">
        <x:v>Halasztott</x:v>
      </x:c>
      <x:c r="F6" s="19" t="str">
        <x:v>A böngésző saját beszédhangja nem ad megbízható török kiejtést, ezért a hangélmény nem tekinthető késznek.</x:v>
      </x:c>
      <x:c r="G6" s="19" t="str">
        <x:v>Később dedikált török TTS vagy előállított audiointegráció.</x:v>
      </x:c>
      <x:c r="H6" s="19" t="str">
        <x:v>Engineering</x:v>
      </x:c>
    </x:row>
    <x:row r="7" ht="26.399999618530273" hidden="0" customHeight="1">
      <x:c r="A7" s="19" t="str">
        <x:v>Q-003</x:v>
      </x:c>
      <x:c r="B7" s="19" t="str">
        <x:v>Globális</x:v>
      </x:c>
      <x:c r="C7" s="19" t="str">
        <x:v>P1</x:v>
      </x:c>
      <x:c r="D7" s="19" t="str">
        <x:v>Mobil terhelés</x:v>
      </x:c>
      <x:c r="E7" s="19" t="str">
        <x:v>Nyitott</x:v>
      </x:c>
      <x:c r="F7" s="19" t="str">
        <x:v>Egy jelenetben a fő tartalom, Ali zsebe és adaptív visszatérés egyszerre jelenhet meg.</x:v>
      </x:c>
      <x:c r="G7" s="19" t="str">
        <x:v>Ütemező szabály: egy jelenetben csak egy kiegészítő tanulási réteg legyen, a kimaradó zsebelem később térjen vissza.</x:v>
      </x:c>
      <x:c r="H7" s="19" t="str">
        <x:v>UX + LXD</x:v>
      </x:c>
    </x:row>
    <x:row r="8" ht="26.399999618530273" hidden="0" customHeight="1">
      <x:c r="A8" s="19" t="str">
        <x:v>Q-004</x:v>
      </x:c>
      <x:c r="B8" s="19" t="str">
        <x:v>Globális</x:v>
      </x:c>
      <x:c r="C8" s="19" t="str">
        <x:v>P2</x:v>
      </x:c>
      <x:c r="D8" s="19" t="str">
        <x:v>Török QA</x:v>
      </x:c>
      <x:c r="E8" s="19" t="str">
        <x:v>Nyitott</x:v>
      </x:c>
      <x:c r="F8" s="19" t="str">
        <x:v>A kanonikus mondatok érthetők, de publikálás előtti anyanyelvi lektorálás még nincs dokumentálva.</x:v>
      </x:c>
      <x:c r="G8" s="19" t="str">
        <x:v>Anyanyelvi török lektor + regiszter- és kulturális ellenőrzés.</x:v>
      </x:c>
      <x:c r="H8" s="19" t="str">
        <x:v>Language QA</x:v>
      </x:c>
    </x:row>
    <x:row r="9" ht="26.399999618530273" hidden="0" customHeight="1">
      <x:c r="A9" s="19" t="str">
        <x:v>Q-005</x:v>
      </x:c>
      <x:c r="B9" s="19" t="str">
        <x:v>01</x:v>
      </x:c>
      <x:c r="C9" s="19" t="str">
        <x:v>P2</x:v>
      </x:c>
      <x:c r="D9" s="19" t="str">
        <x:v>Lefedettség</x:v>
      </x:c>
      <x:c r="E9" s="19" t="str">
        <x:v>Nyitott</x:v>
      </x:c>
      <x:c r="F9" s="19" t="str">
        <x:v>A bemutatkozási forrásanyag többsége még háttérben marad.</x:v>
      </x:c>
      <x:c r="G9" s="19" t="str">
        <x:v>Későbbi természetes visszatérésekben nyissuk meg, ne az első reggelt terheljük.</x:v>
      </x:c>
      <x:c r="H9" s="19" t="str">
        <x:v>LXD</x:v>
      </x:c>
    </x:row>
    <x:row r="10" ht="15" hidden="0" customHeight="1">
      <x:c r="A10" s="19" t="str">
        <x:v>Q-006</x:v>
      </x:c>
      <x:c r="B10" s="19" t="str">
        <x:v>03</x:v>
      </x:c>
      <x:c r="C10" s="19" t="str">
        <x:v>P2</x:v>
      </x:c>
      <x:c r="D10" s="19" t="str">
        <x:v>Hiányzó helyzet</x:v>
      </x:c>
      <x:c r="E10" s="19" t="str">
        <x:v>Nyitott</x:v>
      </x:c>
      <x:c r="F10" s="19" t="str">
        <x:v>A Ne giyiyor? core cél nincs aktív jelenetként feldolgozva.</x:v>
      </x:c>
      <x:c r="G10" s="19" t="str">
        <x:v>A megfigyelési jelenet ruházati ágának bővítése.</x:v>
      </x:c>
      <x:c r="H10" s="19" t="str">
        <x:v>Content</x:v>
      </x:c>
    </x:row>
    <x:row r="11" ht="26.399999618530273" hidden="0" customHeight="1">
      <x:c r="A11" s="19" t="str">
        <x:v>Q-007</x:v>
      </x:c>
      <x:c r="B11" s="19" t="str">
        <x:v>05</x:v>
      </x:c>
      <x:c r="C11" s="19" t="str">
        <x:v>P2</x:v>
      </x:c>
      <x:c r="D11" s="19" t="str">
        <x:v>Érzékeny tartalom</x:v>
      </x:c>
      <x:c r="E11" s="19" t="str">
        <x:v>Kontrollált</x:v>
      </x:c>
      <x:c r="F11" s="19" t="str">
        <x:v>Egészségügyi mondatok vannak a kalandban.</x:v>
      </x:c>
      <x:c r="G11" s="19" t="str">
        <x:v>Maradjon opt-in, ne kerüljön adaptív ismétlésbe; jelenlegi motor ezt betartja.</x:v>
      </x:c>
      <x:c r="H11" s="19" t="str">
        <x:v>Safety + LXD</x:v>
      </x:c>
    </x:row>
    <x:row r="12" ht="26.399999618530273" hidden="0" customHeight="1">
      <x:c r="A12" s="19" t="str">
        <x:v>Q-008</x:v>
      </x:c>
      <x:c r="B12" s="19" t="str">
        <x:v>07</x:v>
      </x:c>
      <x:c r="C12" s="19" t="str">
        <x:v>P2</x:v>
      </x:c>
      <x:c r="D12" s="19" t="str">
        <x:v>Érzékeny tartalom</x:v>
      </x:c>
      <x:c r="E12" s="19" t="str">
        <x:v>Kontrollált</x:v>
      </x:c>
      <x:c r="F12" s="19" t="str">
        <x:v>Családi kérdések személyesek lehetnek.</x:v>
      </x:c>
      <x:c r="G12" s="19" t="str">
        <x:v>Kihagyható mellékág; az audit megszüntette a kihagyás utáni kényszerített családi naplóbejegyzést.</x:v>
      </x:c>
      <x:c r="H12" s="19" t="str">
        <x:v>UX</x:v>
      </x:c>
    </x:row>
    <x:row r="13" ht="26.399999618530273" hidden="0" customHeight="1">
      <x:c r="A13" s="19" t="str">
        <x:v>Q-009</x:v>
      </x:c>
      <x:c r="B13" s="19" t="str">
        <x:v>08</x:v>
      </x:c>
      <x:c r="C13" s="19" t="str">
        <x:v>P1</x:v>
      </x:c>
      <x:c r="D13" s="19" t="str">
        <x:v>Hiányzó core</x:v>
      </x:c>
      <x:c r="E13" s="19" t="str">
        <x:v>Nyitott</x:v>
      </x:c>
      <x:c r="F13" s="19" t="str">
        <x:v>Taze mi? és Bir tane. nem kap aktív, következményes használatot.</x:v>
      </x:c>
      <x:c r="G13" s="19" t="str">
        <x:v>A rendelési párbeszéd újraszerkesztése a meglévő jelenetszámon belül.</x:v>
      </x:c>
      <x:c r="H13" s="19" t="str">
        <x:v>Content + LXD</x:v>
      </x:c>
    </x:row>
    <x:row r="14" ht="26.399999618530273" hidden="0" customHeight="1">
      <x:c r="A14" s="19" t="str">
        <x:v>Q-010</x:v>
      </x:c>
      <x:c r="B14" s="19" t="str">
        <x:v>09</x:v>
      </x:c>
      <x:c r="C14" s="19" t="str">
        <x:v>P2</x:v>
      </x:c>
      <x:c r="D14" s="19" t="str">
        <x:v>Elágazási következmény</x:v>
      </x:c>
      <x:c r="E14" s="19" t="str">
        <x:v>Javítva</x:v>
      </x:c>
      <x:c r="F14" s="19" t="str">
        <x:v>A napló mindig Teşekkür ederim mondatot mutatott akkor is, ha a vendég İyi günler választ adott.</x:v>
      </x:c>
      <x:c r="G14" s="19" t="str">
        <x:v>Az audit a választott ághoz kötötte a napló mondatát.</x:v>
      </x:c>
      <x:c r="H14" s="19" t="str">
        <x:v>Engineering</x:v>
      </x:c>
    </x:row>
    <x:row r="15" ht="15" hidden="0" customHeight="1">
      <x:c r="A15" s="19" t="str">
        <x:v>Q-011</x:v>
      </x:c>
      <x:c r="B15" s="19" t="str">
        <x:v>10</x:v>
      </x:c>
      <x:c r="C15" s="19" t="str">
        <x:v>P2</x:v>
      </x:c>
      <x:c r="D15" s="19" t="str">
        <x:v>Elágazási következmény</x:v>
      </x:c>
      <x:c r="E15" s="19" t="str">
        <x:v>Javítva</x:v>
      </x:c>
      <x:c r="F15" s="19" t="str">
        <x:v>A finálé mindig Yakında görüşürüz mondattal zárt.</x:v>
      </x:c>
      <x:c r="G15" s="19" t="str">
        <x:v>Az audit a választott búcsúhoz kötötte a finálét.</x:v>
      </x:c>
      <x:c r="H15" s="19" t="str">
        <x:v>Engineering</x:v>
      </x:c>
    </x:row>
    <x:row r="16" ht="26.399999618530273" hidden="0" customHeight="1">
      <x:c r="A16" s="19" t="str">
        <x:v>Q-012</x:v>
      </x:c>
      <x:c r="B16" s="19" t="str">
        <x:v>04</x:v>
      </x:c>
      <x:c r="C16" s="19" t="str">
        <x:v>P3</x:v>
      </x:c>
      <x:c r="D16" s="19" t="str">
        <x:v>Terminológia</x:v>
      </x:c>
      <x:c r="E16" s="19" t="str">
        <x:v>Javítva</x:v>
      </x:c>
      <x:c r="F16" s="19" t="str">
        <x:v>A tudásréteg címe csak a sálra utalt, miközben három termékág működik.</x:v>
      </x:c>
      <x:c r="G16" s="19" t="str">
        <x:v>A cím „Ami jól áll” lett.</x:v>
      </x:c>
      <x:c r="H16" s="19" t="str">
        <x:v>Content</x:v>
      </x:c>
    </x:row>
    <x:row r="17" ht="26.399999618530273" hidden="0" customHeight="1">
      <x:c r="A17" s="19" t="str">
        <x:v>Q-013</x:v>
      </x:c>
      <x:c r="B17" s="19" t="str">
        <x:v>Globális</x:v>
      </x:c>
      <x:c r="C17" s="19" t="str">
        <x:v>P2</x:v>
      </x:c>
      <x:c r="D17" s="19" t="str">
        <x:v>Útvonalak</x:v>
      </x:c>
      <x:c r="E17" s="19" t="str">
        <x:v>Rendben</x:v>
      </x:c>
      <x:c r="F17" s="19" t="str">
        <x:v>Mind a tíz kaland 10 jelenetes, minden dinamikus data-* vezérlőhöz tartozik kezelő.</x:v>
      </x:c>
      <x:c r="G17" s="19" t="str">
        <x:v>Regressziós teszt fenntartása minden új ágnál.</x:v>
      </x:c>
      <x:c r="H17" s="19" t="str">
        <x:v>Engineering</x:v>
      </x:c>
    </x:row>
    <x:row r="18" ht="26.399999618530273" hidden="0" customHeight="1">
      <x:c r="A18" s="20" t="str">
        <x:v>Q-014</x:v>
      </x:c>
      <x:c r="B18" s="20" t="str">
        <x:v>Globális</x:v>
      </x:c>
      <x:c r="C18" s="20" t="str">
        <x:v>P2</x:v>
      </x:c>
      <x:c r="D18" s="20" t="str">
        <x:v>Tudásrétegek</x:v>
      </x:c>
      <x:c r="E18" s="20" t="str">
        <x:v>Nyitott</x:v>
      </x:c>
      <x:c r="F18" s="20" t="str">
        <x:v>Az Ali zsebében elemek mechanikusan, jelenetszám alapján érkeznek, nem mindig a történeti pillanat legjobb helyén.</x:v>
      </x:c>
      <x:c r="G18" s="20" t="str">
        <x:v>A zsebelemeket jelenethez és kontextushoz kell kötni.</x:v>
      </x:c>
      <x:c r="H18" s="20" t="str">
        <x:v>LXD</x:v>
      </x:c>
    </x:row>
  </x:sheetData>
  <x:mergeCells>
    <x:mergeCell ref="A1:H1"/>
    <x:mergeCell ref="A2:H2"/>
  </x:mergeCells>
  <x:conditionalFormatting sqref="C5:C18">
    <x:cfRule type="containsText" dxfId="3" priority="1" operator="containsText" text="P1"/>
  </x:conditionalFormatting>
  <x:conditionalFormatting sqref="E5:E18">
    <x:cfRule type="containsText" dxfId="4" priority="2" operator="containsText" text="Javítva"/>
  </x:conditionalFormatting>
  <x:pageMargins left="0.7" right="0.7" top="0.75" bottom="0.75" header="0.3" footer="0.3"/>
  <x:tableParts count="1">
    <x:tablePart xmlns:r="http://schemas.openxmlformats.org/officeDocument/2006/relationships" r:id="R0491dd36786744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0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4" hidden="0" customWidth="1"/>
  </x:cols>
  <x:sheetData>
    <x:row r="1" ht="15" hidden="0" customHeight="1">
      <x:c r="A1" s="45" t="str">
        <x:v>Lefedettségi rés · Knowledge Map vs. első élményréteg</x:v>
      </x:c>
      <x:c r="B1" s="45" t="str">
        <x:v>Lefedettségi rés · Knowledge Map vs. első élményréteg</x:v>
      </x:c>
      <x:c r="C1" s="45" t="str">
        <x:v>Lefedettségi rés · Knowledge Map vs. első élményréteg</x:v>
      </x:c>
      <x:c r="D1" s="45" t="str">
        <x:v>Lefedettségi rés · Knowledge Map vs. első élményréteg</x:v>
      </x:c>
      <x:c r="E1" s="45" t="str">
        <x:v>Lefedettségi rés · Knowledge Map vs. első élményréteg</x:v>
      </x:c>
      <x:c r="F1" s="45" t="str">
        <x:v>Lefedettségi rés · Knowledge Map vs. első élményréteg</x:v>
      </x:c>
      <x:c r="G1" s="45" t="str">
        <x:v>Lefedettségi rés · Knowledge Map vs. első élményréteg</x:v>
      </x:c>
    </x:row>
    <x:row r="2" ht="15" hidden="0" customHeight="1">
      <x:c r="A2" s="6" t="str">
        <x:v>A „feldolgozott egység” és a „felszínen megjelenő kanonikus elem” nem azonos mértékegység; az arány csak nagyságrendi tartalmi adósságot jelez.</x:v>
      </x:c>
      <x:c r="B2" s="6"/>
      <x:c r="C2" s="6"/>
      <x:c r="D2" s="6"/>
      <x:c r="E2" s="6"/>
      <x:c r="F2" s="6"/>
      <x:c r="G2" s="6"/>
    </x:row>
    <x:row r="3" ht="15" hidden="0" customHeight="1">
      <x:c r="A3" s="46"/>
      <x:c r="B3" s="46"/>
      <x:c r="C3" s="46"/>
      <x:c r="D3" s="46"/>
      <x:c r="E3" s="46"/>
      <x:c r="F3" s="46"/>
      <x:c r="G3" s="46"/>
    </x:row>
    <x:row r="4" ht="15" hidden="0" customHeight="1">
      <x:c r="A4" s="10" t="str">
        <x:v>#</x:v>
      </x:c>
      <x:c r="B4" s="10" t="str">
        <x:v>Kaland</x:v>
      </x:c>
      <x:c r="C4" s="10" t="str">
        <x:v>Map egység</x:v>
      </x:c>
      <x:c r="D4" s="10" t="str">
        <x:v>Core + pocket</x:v>
      </x:c>
      <x:c r="E4" s="10" t="str">
        <x:v>Map QA jelzés</x:v>
      </x:c>
      <x:c r="F4" s="10" t="str">
        <x:v>Felszíni arány</x:v>
      </x:c>
      <x:c r="G4" s="10" t="str">
        <x:v>Döntés</x:v>
      </x:c>
    </x:row>
    <x:row r="5" ht="15" hidden="0" customHeight="1">
      <x:c r="A5" s="18" t="n">
        <x:v>1</x:v>
      </x:c>
      <x:c r="B5" s="18" t="str">
        <x:v>Megérkeztél</x:v>
      </x:c>
      <x:c r="C5" s="18" t="n">
        <x:v>158</x:v>
      </x:c>
      <x:c r="D5" s="18" t="n">
        <x:v>13</x:v>
      </x:c>
      <x:c r="E5" s="18" t="n">
        <x:v>0</x:v>
      </x:c>
      <x:c r="F5" s="42" t="n">
        <x:f>D5/C5</x:f>
        <x:v>0.08227848101265822</x:v>
      </x:c>
      <x:c r="G5" s="18" t="str">
        <x:f>IF(F5&lt;0.1,"Több hullám szükséges","Bővítendő")</x:f>
        <x:v>Több hullám szükséges</x:v>
      </x:c>
    </x:row>
    <x:row r="6" ht="15" hidden="0" customHeight="1">
      <x:c r="A6" s="19" t="n">
        <x:v>2</x:v>
      </x:c>
      <x:c r="B6" s="19" t="str">
        <x:v>Van hely az asztalnál</x:v>
      </x:c>
      <x:c r="C6" s="19" t="n">
        <x:v>50</x:v>
      </x:c>
      <x:c r="D6" s="19" t="n">
        <x:v>13</x:v>
      </x:c>
      <x:c r="E6" s="19" t="n">
        <x:v>0</x:v>
      </x:c>
      <x:c r="F6" s="43" t="n">
        <x:f>D6/C6</x:f>
        <x:v>0.26</x:v>
      </x:c>
      <x:c r="G6" s="19" t="str">
        <x:f>IF(F6&lt;0.1,"Több hullám szükséges","Bővítendő")</x:f>
        <x:v>Bővítendő</x:v>
      </x:c>
    </x:row>
    <x:row r="7" ht="15" hidden="0" customHeight="1">
      <x:c r="A7" s="19" t="n">
        <x:v>3</x:v>
      </x:c>
      <x:c r="B7" s="19" t="str">
        <x:v>Arcok a kompon</x:v>
      </x:c>
      <x:c r="C7" s="19" t="n">
        <x:v>132</x:v>
      </x:c>
      <x:c r="D7" s="19" t="n">
        <x:v>13</x:v>
      </x:c>
      <x:c r="E7" s="19" t="n">
        <x:v>9</x:v>
      </x:c>
      <x:c r="F7" s="43" t="n">
        <x:f>D7/C7</x:f>
        <x:v>0.09848484848484848</x:v>
      </x:c>
      <x:c r="G7" s="19" t="str">
        <x:f>IF(F7&lt;0.1,"Több hullám szükséges","Bővítendő")</x:f>
        <x:v>Több hullám szükséges</x:v>
      </x:c>
    </x:row>
    <x:row r="8" ht="15" hidden="0" customHeight="1">
      <x:c r="A8" s="19" t="n">
        <x:v>4</x:v>
      </x:c>
      <x:c r="B8" s="19" t="str">
        <x:v>Ami jól áll</x:v>
      </x:c>
      <x:c r="C8" s="19" t="n">
        <x:v>123</x:v>
      </x:c>
      <x:c r="D8" s="19" t="n">
        <x:v>13</x:v>
      </x:c>
      <x:c r="E8" s="19" t="n">
        <x:v>0</x:v>
      </x:c>
      <x:c r="F8" s="43" t="n">
        <x:f>D8/C8</x:f>
        <x:v>0.10569105691056911</x:v>
      </x:c>
      <x:c r="G8" s="19" t="str">
        <x:f>IF(F8&lt;0.1,"Több hullám szükséges","Bővítendő")</x:f>
        <x:v>Bővítendő</x:v>
      </x:c>
    </x:row>
    <x:row r="9" ht="15" hidden="0" customHeight="1">
      <x:c r="A9" s="19" t="n">
        <x:v>5</x:v>
      </x:c>
      <x:c r="B9" s="19" t="str">
        <x:v>Van időnk megállni</x:v>
      </x:c>
      <x:c r="C9" s="19" t="n">
        <x:v>250</x:v>
      </x:c>
      <x:c r="D9" s="19" t="n">
        <x:v>13</x:v>
      </x:c>
      <x:c r="E9" s="19" t="n">
        <x:v>46</x:v>
      </x:c>
      <x:c r="F9" s="43" t="n">
        <x:f>D9/C9</x:f>
        <x:v>0.052</x:v>
      </x:c>
      <x:c r="G9" s="19" t="str">
        <x:f>IF(F9&lt;0.1,"Több hullám szükséges","Bővítendő")</x:f>
        <x:v>Több hullám szükséges</x:v>
      </x:c>
    </x:row>
    <x:row r="10" ht="15" hidden="0" customHeight="1">
      <x:c r="A10" s="19" t="n">
        <x:v>6</x:v>
      </x:c>
      <x:c r="B10" s="19" t="str">
        <x:v>Egy megállóval tovább</x:v>
      </x:c>
      <x:c r="C10" s="19" t="n">
        <x:v>75</x:v>
      </x:c>
      <x:c r="D10" s="19" t="n">
        <x:v>13</x:v>
      </x:c>
      <x:c r="E10" s="19" t="n">
        <x:v>0</x:v>
      </x:c>
      <x:c r="F10" s="43" t="n">
        <x:f>D10/C10</x:f>
        <x:v>0.17333333333333334</x:v>
      </x:c>
      <x:c r="G10" s="19" t="str">
        <x:f>IF(F10&lt;0.1,"Több hullám szükséges","Bővítendő")</x:f>
        <x:v>Bővítendő</x:v>
      </x:c>
    </x:row>
    <x:row r="11" ht="15" hidden="0" customHeight="1">
      <x:c r="A11" s="19" t="n">
        <x:v>7</x:v>
      </x:c>
      <x:c r="B11" s="19" t="str">
        <x:v>Fények a túlparton</x:v>
      </x:c>
      <x:c r="C11" s="19" t="n">
        <x:v>150</x:v>
      </x:c>
      <x:c r="D11" s="19" t="n">
        <x:v>13</x:v>
      </x:c>
      <x:c r="E11" s="19" t="n">
        <x:v>0</x:v>
      </x:c>
      <x:c r="F11" s="43" t="n">
        <x:f>D11/C11</x:f>
        <x:v>0.08666666666666667</x:v>
      </x:c>
      <x:c r="G11" s="19" t="str">
        <x:f>IF(F11&lt;0.1,"Több hullám szükséges","Bővítendő")</x:f>
        <x:v>Több hullám szükséges</x:v>
      </x:c>
    </x:row>
    <x:row r="12" ht="15" hidden="0" customHeight="1">
      <x:c r="A12" s="19" t="n">
        <x:v>8</x:v>
      </x:c>
      <x:c r="B12" s="19" t="str">
        <x:v>A város illata</x:v>
      </x:c>
      <x:c r="C12" s="19" t="n">
        <x:v>311</x:v>
      </x:c>
      <x:c r="D12" s="19" t="n">
        <x:v>13</x:v>
      </x:c>
      <x:c r="E12" s="19" t="n">
        <x:v>2</x:v>
      </x:c>
      <x:c r="F12" s="43" t="n">
        <x:f>D12/C12</x:f>
        <x:v>0.04180064308681672</x:v>
      </x:c>
      <x:c r="G12" s="19" t="str">
        <x:f>IF(F12&lt;0.1,"Több hullám szükséges","Bővítendő")</x:f>
        <x:v>Több hullám szükséges</x:v>
      </x:c>
    </x:row>
    <x:row r="13" ht="15" hidden="0" customHeight="1">
      <x:c r="A13" s="19" t="n">
        <x:v>9</x:v>
      </x:c>
      <x:c r="B13" s="19" t="str">
        <x:v>Amit nem kell hangosan mondani</x:v>
      </x:c>
      <x:c r="C13" s="19" t="n">
        <x:v>75</x:v>
      </x:c>
      <x:c r="D13" s="19" t="n">
        <x:v>13</x:v>
      </x:c>
      <x:c r="E13" s="19" t="n">
        <x:v>0</x:v>
      </x:c>
      <x:c r="F13" s="43" t="n">
        <x:f>D13/C13</x:f>
        <x:v>0.17333333333333334</x:v>
      </x:c>
      <x:c r="G13" s="19" t="str">
        <x:f>IF(F13&lt;0.1,"Több hullám szükséges","Bővítendő")</x:f>
        <x:v>Bővítendő</x:v>
      </x:c>
    </x:row>
    <x:row r="14" ht="15" hidden="0" customHeight="1">
      <x:c r="A14" s="20" t="n">
        <x:v>10</x:v>
      </x:c>
      <x:c r="B14" s="20" t="str">
        <x:v>Maradnál még?</x:v>
      </x:c>
      <x:c r="C14" s="20" t="n">
        <x:v>250</x:v>
      </x:c>
      <x:c r="D14" s="20" t="n">
        <x:v>13</x:v>
      </x:c>
      <x:c r="E14" s="20" t="n">
        <x:v>32</x:v>
      </x:c>
      <x:c r="F14" s="44" t="n">
        <x:f>D14/C14</x:f>
        <x:v>0.052</x:v>
      </x:c>
      <x:c r="G14" s="20" t="str">
        <x:f>IF(F14&lt;0.1,"Több hullám szükséges","Bővítendő")</x:f>
        <x:v>Több hullám szükséges</x:v>
      </x:c>
    </x:row>
  </x:sheetData>
  <x:mergeCells>
    <x:mergeCell ref="A1:G1"/>
    <x:mergeCell ref="A2:G2"/>
  </x:mergeCells>
  <x:conditionalFormatting sqref="F5:F14">
    <x:cfRule type="colorScale" priority="1">
      <x:colorScale>
        <x:cfvo type="min"/>
        <x:cfvo type="percentile" val="50"/>
        <x:cfvo type="max"/>
        <x:color rgb="FFF4D7D0"/>
        <x:color rgb="FFF7E7C3"/>
        <x:color rgb="FFDDEDEA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998482cea6a4e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38" hidden="0" customWidth="1"/>
    <x:col min="4" max="4" width="20" hidden="0" customWidth="1"/>
    <x:col min="5" max="5" width="20" hidden="0" customWidth="1"/>
    <x:col min="6" max="6" width="38" hidden="0" customWidth="1"/>
  </x:cols>
  <x:sheetData>
    <x:row r="1" ht="15" hidden="0" customHeight="1">
      <x:c r="A1" s="45" t="str">
        <x:v>Regressziós QA ellenőrzőlista</x:v>
      </x:c>
      <x:c r="B1" s="45" t="str">
        <x:v>Regressziós QA ellenőrzőlista</x:v>
      </x:c>
      <x:c r="C1" s="45" t="str">
        <x:v>Regressziós QA ellenőrzőlista</x:v>
      </x:c>
      <x:c r="D1" s="45" t="str">
        <x:v>Regressziós QA ellenőrzőlista</x:v>
      </x:c>
      <x:c r="E1" s="45" t="str">
        <x:v>Regressziós QA ellenőrzőlista</x:v>
      </x:c>
      <x:c r="F1" s="45" t="str">
        <x:v>Regressziós QA ellenőrzőlista</x:v>
      </x:c>
    </x:row>
    <x:row r="2" ht="15" hidden="0" customHeight="1">
      <x:c r="A2" s="46"/>
      <x:c r="B2" s="46"/>
      <x:c r="C2" s="46"/>
      <x:c r="D2" s="46"/>
      <x:c r="E2" s="46"/>
      <x:c r="F2" s="46"/>
    </x:row>
    <x:row r="3" ht="15" hidden="0" customHeight="1">
      <x:c r="A3" s="10" t="str">
        <x:v>Terület</x:v>
      </x:c>
      <x:c r="B3" s="10" t="str">
        <x:v>Ellenőrzés</x:v>
      </x:c>
      <x:c r="C3" s="10" t="str">
        <x:v>Elvárt eredmény</x:v>
      </x:c>
      <x:c r="D3" s="10" t="str">
        <x:v>Gyakoriság</x:v>
      </x:c>
      <x:c r="E3" s="10" t="str">
        <x:v>Státusz</x:v>
      </x:c>
      <x:c r="F3" s="10" t="str">
        <x:v>Megjegyzés</x:v>
      </x:c>
    </x:row>
    <x:row r="4" ht="15" hidden="0" customHeight="1">
      <x:c r="A4" s="18" t="str">
        <x:v>Szerkezet</x:v>
      </x:c>
      <x:c r="B4" s="18" t="str">
        <x:v>Mind a 10 kaland 10 jelenetes</x:v>
      </x:c>
      <x:c r="C4" s="18" t="str">
        <x:v>100 jelenet összesen</x:v>
      </x:c>
      <x:c r="D4" s="18" t="str">
        <x:v>Minden kiadás</x:v>
      </x:c>
      <x:c r="E4" s="18" t="str">
        <x:v>Rendben</x:v>
      </x:c>
      <x:c r="F4" s="18" t="str">
        <x:v>Automatikus statikus ellenőrzés</x:v>
      </x:c>
    </x:row>
    <x:row r="5" ht="26.399999618530273" hidden="0" customHeight="1">
      <x:c r="A5" s="19" t="str">
        <x:v>Elágazás</x:v>
      </x:c>
      <x:c r="B5" s="19" t="str">
        <x:v>Minden data-* vezérlő kezelve van</x:v>
      </x:c>
      <x:c r="C5" s="19" t="str">
        <x:v>Nincs néma gomb</x:v>
      </x:c>
      <x:c r="D5" s="19" t="str">
        <x:v>Minden kiadás</x:v>
      </x:c>
      <x:c r="E5" s="19" t="str">
        <x:v>Rendben</x:v>
      </x:c>
      <x:c r="F5" s="19" t="str">
        <x:v>A globális fejlécvezérlők külön hallgatót használnak</x:v>
      </x:c>
    </x:row>
    <x:row r="6" ht="26.399999618530273" hidden="0" customHeight="1">
      <x:c r="A6" s="19" t="str">
        <x:v>Következmény</x:v>
      </x:c>
      <x:c r="B6" s="19" t="str">
        <x:v>A választott mondat jelenik meg a naplóban</x:v>
      </x:c>
      <x:c r="C6" s="19" t="str">
        <x:v>Nincs alapértelmezett felülírás</x:v>
      </x:c>
      <x:c r="D6" s="19" t="str">
        <x:v>Minden tartalmi módosítás</x:v>
      </x:c>
      <x:c r="E6" s="19" t="str">
        <x:v>Javítandó</x:v>
      </x:c>
      <x:c r="F6" s="19" t="str">
        <x:v>Üsküdar, Sultanahmet és finálé auditálva</x:v>
      </x:c>
    </x:row>
    <x:row r="7" ht="15" hidden="0" customHeight="1">
      <x:c r="A7" s="19" t="str">
        <x:v>Török nyelv</x:v>
      </x:c>
      <x:c r="B7" s="19" t="str">
        <x:v>Anyanyelvi lektor jóváhagyta</x:v>
      </x:c>
      <x:c r="C7" s="19" t="str">
        <x:v>Nyelvtan + természetes regiszter</x:v>
      </x:c>
      <x:c r="D7" s="19" t="str">
        <x:v>Publikálás előtt</x:v>
      </x:c>
      <x:c r="E7" s="19" t="str">
        <x:v>Nyitott</x:v>
      </x:c>
      <x:c r="F7" s="19" t="str">
        <x:v>Nem helyettesíthető automatikus ellenőrzéssel</x:v>
      </x:c>
    </x:row>
    <x:row r="8" ht="15" hidden="0" customHeight="1">
      <x:c r="A8" s="19" t="str">
        <x:v>Mobil</x:v>
      </x:c>
      <x:c r="B8" s="19" t="str">
        <x:v>Fő tartalom + legfeljebb 1 kiegészítő réteg</x:v>
      </x:c>
      <x:c r="C8" s="19" t="str">
        <x:v>Nincs túlterhelt jelenet</x:v>
      </x:c>
      <x:c r="D8" s="19" t="str">
        <x:v>Minden UI módosítás</x:v>
      </x:c>
      <x:c r="E8" s="19" t="str">
        <x:v>Nyitott</x:v>
      </x:c>
      <x:c r="F8" s="19" t="str">
        <x:v>Pocket és adaptive ütemezés szükséges</x:v>
      </x:c>
    </x:row>
    <x:row r="9" ht="15" hidden="0" customHeight="1">
      <x:c r="A9" s="19" t="str">
        <x:v>Érzékenység</x:v>
      </x:c>
      <x:c r="B9" s="19" t="str">
        <x:v>Egészség/család nem tér vissza automatikusan</x:v>
      </x:c>
      <x:c r="C9" s="19" t="str">
        <x:v>Nincs kéretlen személyes ismétlés</x:v>
      </x:c>
      <x:c r="D9" s="19" t="str">
        <x:v>Minden motor módosítás</x:v>
      </x:c>
      <x:c r="E9" s="19" t="str">
        <x:v>Rendben</x:v>
      </x:c>
      <x:c r="F9" s="19" t="str">
        <x:v>isPracticeSafe védi</x:v>
      </x:c>
    </x:row>
    <x:row r="10" ht="15" hidden="0" customHeight="1">
      <x:c r="A10" s="19" t="str">
        <x:v>Hang</x:v>
      </x:c>
      <x:c r="B10" s="19" t="str">
        <x:v>Dedikált török hang minden kijelölt mondatnál</x:v>
      </x:c>
      <x:c r="C10" s="19" t="str">
        <x:v>Teljes mondat, helyes nyelv</x:v>
      </x:c>
      <x:c r="D10" s="19" t="str">
        <x:v>Audio sprint</x:v>
      </x:c>
      <x:c r="E10" s="19" t="str">
        <x:v>Halasztott</x:v>
      </x:c>
      <x:c r="F10" s="19" t="str">
        <x:v>Böngészőhang nem kiadási megoldás</x:v>
      </x:c>
    </x:row>
    <x:row r="11" ht="26.399999618530273" hidden="0" customHeight="1">
      <x:c r="A11" s="20" t="str">
        <x:v>Lefedettség</x:v>
      </x:c>
      <x:c r="B11" s="20" t="str">
        <x:v>Új Map-egység csak történeti indokkal kerül felszínre</x:v>
      </x:c>
      <x:c r="C11" s="20" t="str">
        <x:v>Nem lesz szólistaérzet</x:v>
      </x:c>
      <x:c r="D11" s="20" t="str">
        <x:v>Minden content sprint</x:v>
      </x:c>
      <x:c r="E11" s="20" t="str">
        <x:v>Nyitott</x:v>
      </x:c>
      <x:c r="F11" s="20" t="str">
        <x:v>Release hullámokra bontandó</x:v>
      </x:c>
    </x:row>
  </x:sheetData>
  <x:mergeCells>
    <x:mergeCell ref="A1:F1"/>
  </x:mergeCells>
  <x:conditionalFormatting sqref="E4:E11">
    <x:cfRule type="containsText" dxfId="5" priority="1" operator="containsText" text="Rendben"/>
    <x:cfRule type="containsText" dxfId="6" priority="2" operator="containsText" text="Nyitott"/>
  </x:conditionalFormatting>
  <x:pageMargins left="0.7" right="0.7" top="0.75" bottom="0.75" header="0.3" footer="0.3"/>
  <x:tableParts count="1">
    <x:tablePart xmlns:r="http://schemas.openxmlformats.org/officeDocument/2006/relationships" r:id="R367e202893404015"/>
  </x:tableParts>
</x:worksheet>
</file>